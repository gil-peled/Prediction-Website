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93a31a840051cf9/Desktop/UHG Website/"/>
    </mc:Choice>
  </mc:AlternateContent>
  <xr:revisionPtr revIDLastSave="1" documentId="8_{222432DB-6137-4F46-91FE-6248CE77BDA2}" xr6:coauthVersionLast="47" xr6:coauthVersionMax="47" xr10:uidLastSave="{ECACE34E-47D9-4D6B-89D3-D411C1888FAD}"/>
  <bookViews>
    <workbookView xWindow="86160" yWindow="-240" windowWidth="29280" windowHeight="15960" xr2:uid="{5C39DE8A-6E10-48C2-9CBD-579587BD84D2}"/>
  </bookViews>
  <sheets>
    <sheet name="Test" sheetId="6" r:id="rId1"/>
    <sheet name="1" sheetId="1" r:id="rId2"/>
    <sheet name="2" sheetId="2" r:id="rId3"/>
    <sheet name="3" sheetId="3" r:id="rId4"/>
    <sheet name="4" sheetId="4" r:id="rId5"/>
    <sheet name="5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R87" i="6" l="1"/>
  <c r="BA87" i="6"/>
  <c r="CQ86" i="6"/>
  <c r="BA86" i="6"/>
  <c r="CP85" i="6"/>
  <c r="BA85" i="6"/>
  <c r="CO84" i="6"/>
  <c r="BA84" i="6"/>
  <c r="CN83" i="6"/>
  <c r="BA83" i="6"/>
  <c r="CM82" i="6"/>
  <c r="BA82" i="6"/>
  <c r="CL81" i="6"/>
  <c r="BA81" i="6"/>
  <c r="CK80" i="6"/>
  <c r="BA80" i="6"/>
  <c r="CJ79" i="6"/>
  <c r="BA79" i="6"/>
  <c r="CI78" i="6"/>
  <c r="BA78" i="6"/>
  <c r="CH77" i="6"/>
  <c r="BA77" i="6"/>
  <c r="CG76" i="6"/>
  <c r="BA76" i="6"/>
  <c r="CF75" i="6"/>
  <c r="BA75" i="6"/>
  <c r="CE74" i="6"/>
  <c r="BA74" i="6"/>
  <c r="CD73" i="6"/>
  <c r="BA73" i="6"/>
  <c r="CC72" i="6"/>
  <c r="BA72" i="6"/>
  <c r="CB71" i="6"/>
  <c r="BA71" i="6"/>
  <c r="CA70" i="6"/>
  <c r="BA70" i="6"/>
  <c r="BZ69" i="6"/>
  <c r="BA69" i="6"/>
  <c r="BY68" i="6"/>
  <c r="BA68" i="6"/>
  <c r="BX67" i="6"/>
  <c r="BA67" i="6"/>
  <c r="BW66" i="6"/>
  <c r="BA66" i="6"/>
  <c r="BV65" i="6"/>
  <c r="BA65" i="6"/>
  <c r="BU64" i="6"/>
  <c r="BA64" i="6"/>
  <c r="BT63" i="6"/>
  <c r="BA63" i="6"/>
  <c r="BS62" i="6"/>
  <c r="BA62" i="6"/>
  <c r="BR61" i="6"/>
  <c r="BA61" i="6"/>
  <c r="BQ60" i="6"/>
  <c r="BA60" i="6"/>
  <c r="BP59" i="6"/>
  <c r="BA59" i="6"/>
  <c r="BO58" i="6"/>
  <c r="BA58" i="6"/>
  <c r="BN57" i="6"/>
  <c r="BA57" i="6"/>
  <c r="BM56" i="6"/>
  <c r="BA56" i="6"/>
  <c r="BL55" i="6"/>
  <c r="BA55" i="6"/>
  <c r="BK54" i="6"/>
  <c r="BA54" i="6"/>
  <c r="BJ53" i="6"/>
  <c r="BA53" i="6"/>
  <c r="BI52" i="6"/>
  <c r="BA52" i="6"/>
  <c r="BH51" i="6"/>
  <c r="BA51" i="6"/>
  <c r="BG50" i="6"/>
  <c r="BA50" i="6"/>
  <c r="BF49" i="6"/>
  <c r="BA49" i="6"/>
  <c r="BE48" i="6"/>
  <c r="BA48" i="6"/>
  <c r="BD47" i="6"/>
  <c r="BA47" i="6"/>
  <c r="CR46" i="6"/>
  <c r="CQ46" i="6"/>
  <c r="CP46" i="6"/>
  <c r="CO46" i="6"/>
  <c r="CN46" i="6"/>
  <c r="CM46" i="6"/>
  <c r="CL46" i="6"/>
  <c r="CK46" i="6"/>
  <c r="CJ46" i="6"/>
  <c r="CI46" i="6"/>
  <c r="CH46" i="6"/>
  <c r="CG46" i="6"/>
  <c r="CF46" i="6"/>
  <c r="CE46" i="6"/>
  <c r="CD46" i="6"/>
  <c r="CC46" i="6"/>
  <c r="CB46" i="6"/>
  <c r="CA46" i="6"/>
  <c r="BZ46" i="6"/>
  <c r="BY46" i="6"/>
  <c r="BX46" i="6"/>
  <c r="BW46" i="6"/>
  <c r="BV46" i="6"/>
  <c r="BU46" i="6"/>
  <c r="BT46" i="6"/>
  <c r="BS46" i="6"/>
  <c r="BR46" i="6"/>
  <c r="BQ46" i="6"/>
  <c r="BP46" i="6"/>
  <c r="BO46" i="6"/>
  <c r="BN46" i="6"/>
  <c r="BM46" i="6"/>
  <c r="BL46" i="6"/>
  <c r="BK46" i="6"/>
  <c r="BJ46" i="6"/>
  <c r="BI46" i="6"/>
  <c r="BH46" i="6"/>
  <c r="BG46" i="6"/>
  <c r="BF46" i="6"/>
  <c r="BE46" i="6"/>
  <c r="BD46" i="6"/>
  <c r="BC46" i="6"/>
  <c r="BA46" i="6"/>
  <c r="AW44" i="6"/>
  <c r="AV43" i="6"/>
  <c r="AU42" i="6"/>
  <c r="AT41" i="6"/>
  <c r="AS40" i="6"/>
  <c r="AR39" i="6"/>
  <c r="AQ38" i="6"/>
  <c r="AP37" i="6"/>
  <c r="AO36" i="6"/>
  <c r="AN35" i="6"/>
  <c r="AM34" i="6"/>
  <c r="AL33" i="6"/>
  <c r="AK32" i="6"/>
  <c r="AJ31" i="6"/>
  <c r="AI30" i="6"/>
  <c r="AH29" i="6"/>
  <c r="AG28" i="6"/>
  <c r="AF27" i="6"/>
  <c r="AE26" i="6"/>
  <c r="AD25" i="6"/>
  <c r="AC24" i="6"/>
  <c r="AB23" i="6"/>
  <c r="AA22" i="6"/>
  <c r="Z21" i="6"/>
  <c r="Y20" i="6"/>
  <c r="X19" i="6"/>
  <c r="W18" i="6"/>
  <c r="V17" i="6"/>
  <c r="U16" i="6"/>
  <c r="T15" i="6"/>
  <c r="S14" i="6"/>
  <c r="R13" i="6"/>
  <c r="Q12" i="6"/>
  <c r="P11" i="6"/>
  <c r="O10" i="6"/>
  <c r="N9" i="6"/>
  <c r="M8" i="6"/>
  <c r="L7" i="6"/>
  <c r="K6" i="6"/>
  <c r="J5" i="6"/>
  <c r="H3" i="6"/>
  <c r="I4" i="6"/>
  <c r="AI3" i="6"/>
  <c r="AJ3" i="6"/>
  <c r="AK3" i="6"/>
  <c r="AL3" i="6"/>
  <c r="AM3" i="6"/>
  <c r="AN3" i="6"/>
  <c r="AO3" i="6"/>
  <c r="AP3" i="6"/>
  <c r="AQ3" i="6"/>
  <c r="AR3" i="6"/>
  <c r="AS3" i="6"/>
  <c r="AT3" i="6"/>
  <c r="AU3" i="6"/>
  <c r="AV3" i="6"/>
  <c r="AW3" i="6"/>
  <c r="X3" i="6"/>
  <c r="Y3" i="6"/>
  <c r="Z3" i="6"/>
  <c r="AA3" i="6"/>
  <c r="AB3" i="6"/>
  <c r="AC3" i="6"/>
  <c r="AD3" i="6"/>
  <c r="AE3" i="6"/>
  <c r="AF3" i="6"/>
  <c r="AG3" i="6"/>
  <c r="AH3" i="6"/>
  <c r="I3" i="6"/>
  <c r="J3" i="6"/>
  <c r="K3" i="6"/>
  <c r="L3" i="6"/>
  <c r="M3" i="6"/>
  <c r="N3" i="6"/>
  <c r="O3" i="6"/>
  <c r="P3" i="6"/>
  <c r="Q3" i="6"/>
  <c r="R3" i="6"/>
  <c r="S3" i="6"/>
  <c r="T3" i="6"/>
  <c r="U3" i="6"/>
  <c r="V3" i="6"/>
  <c r="W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3" i="6"/>
</calcChain>
</file>

<file path=xl/sharedStrings.xml><?xml version="1.0" encoding="utf-8"?>
<sst xmlns="http://schemas.openxmlformats.org/spreadsheetml/2006/main" count="134" uniqueCount="61">
  <si>
    <t>Name</t>
  </si>
  <si>
    <t>Variables</t>
  </si>
  <si>
    <t>Outcome</t>
  </si>
  <si>
    <t>Confidence Intervals</t>
  </si>
  <si>
    <t>Reference Person</t>
  </si>
  <si>
    <t>Calculator 1</t>
  </si>
  <si>
    <t>Age</t>
  </si>
  <si>
    <t>Etiology*</t>
  </si>
  <si>
    <t>Gender</t>
  </si>
  <si>
    <t>Labs (bif)</t>
  </si>
  <si>
    <t>Decomp 1 yr</t>
  </si>
  <si>
    <t>None</t>
  </si>
  <si>
    <t>Yes, by etiology</t>
  </si>
  <si>
    <t>Calculator 2</t>
  </si>
  <si>
    <t>Commorbidities</t>
  </si>
  <si>
    <t>Set</t>
  </si>
  <si>
    <t>Calculator 3</t>
  </si>
  <si>
    <t>gender</t>
  </si>
  <si>
    <t>Charleson</t>
  </si>
  <si>
    <t>MELD(bif)</t>
  </si>
  <si>
    <t>Set Graphic</t>
  </si>
  <si>
    <t>Yes, on graphic</t>
  </si>
  <si>
    <t>Calculator 4</t>
  </si>
  <si>
    <t>Decomp source 1yr</t>
  </si>
  <si>
    <t>Calculator 5</t>
  </si>
  <si>
    <t>commorbidities</t>
  </si>
  <si>
    <t>Decomp</t>
  </si>
  <si>
    <t>Death</t>
  </si>
  <si>
    <t>Hosp</t>
  </si>
  <si>
    <t>METALD</t>
  </si>
  <si>
    <t>age</t>
  </si>
  <si>
    <t>age2</t>
  </si>
  <si>
    <t>age3</t>
  </si>
  <si>
    <t>FEMALE</t>
  </si>
  <si>
    <t>myocardial_t</t>
  </si>
  <si>
    <t>heart_fail_t</t>
  </si>
  <si>
    <t>periph_dat_t</t>
  </si>
  <si>
    <t>cerebro_da_t</t>
  </si>
  <si>
    <t>dementia_d_t</t>
  </si>
  <si>
    <t>diab_unc</t>
  </si>
  <si>
    <t>paralysis_t</t>
  </si>
  <si>
    <t>diab_com</t>
  </si>
  <si>
    <t>malignancy_t</t>
  </si>
  <si>
    <t>meta_cance_t</t>
  </si>
  <si>
    <t>aids_date_t</t>
  </si>
  <si>
    <t>pulmonary_t</t>
  </si>
  <si>
    <t>_cons</t>
  </si>
  <si>
    <t>decly:age</t>
  </si>
  <si>
    <t>decly:age2</t>
  </si>
  <si>
    <t>myocardial</t>
  </si>
  <si>
    <t>heart failure</t>
  </si>
  <si>
    <t>Peripheral</t>
  </si>
  <si>
    <t>Time</t>
  </si>
  <si>
    <t>Etiology</t>
  </si>
  <si>
    <t>See</t>
  </si>
  <si>
    <t>Cols = 5 + nvar</t>
  </si>
  <si>
    <t>Rows = 1 + nvar</t>
  </si>
  <si>
    <t>nvars</t>
  </si>
  <si>
    <t>b</t>
  </si>
  <si>
    <t>od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</si>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</sst>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9.6"/>
      <color rgb="FF0D0D0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E3E3E3"/>
      </left>
      <right/>
      <top/>
      <bottom style="medium">
        <color rgb="FFE3E3E3"/>
      </bottom>
      <diagonal/>
    </border>
    <border>
      <left style="medium">
        <color rgb="FFE3E3E3"/>
      </left>
      <right style="medium">
        <color rgb="FFE3E3E3"/>
      </right>
      <top/>
      <bottom style="medium">
        <color rgb="FFE3E3E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9E35B-6623-44D2-B3D5-31C40C26CDC7}">
  <dimension ref="C3:CR87"/>
  <sheetViews>
    <sheetView tabSelected="1" topLeftCell="AK29" workbookViewId="0">
      <selection activeCell="AY46" sqref="AY46:CR87"/>
    </sheetView>
  </sheetViews>
  <sheetFormatPr defaultRowHeight="15" x14ac:dyDescent="0.25"/>
  <cols>
    <col min="4" max="4" width="14.42578125" customWidth="1"/>
    <col min="13" max="13" width="9.42578125" bestFit="1" customWidth="1"/>
  </cols>
  <sheetData>
    <row r="3" spans="3:96" x14ac:dyDescent="0.25">
      <c r="D3" t="s">
        <v>2</v>
      </c>
      <c r="F3">
        <f>$C$16</f>
        <v>-2.5000000000000001E-2</v>
      </c>
      <c r="H3">
        <f>$C$19</f>
        <v>0.2</v>
      </c>
      <c r="I3">
        <f t="shared" ref="I3:AW3" si="0">$C$22</f>
        <v>5.0000000000000001E-4</v>
      </c>
      <c r="J3">
        <f t="shared" si="0"/>
        <v>5.0000000000000001E-4</v>
      </c>
      <c r="K3">
        <f t="shared" si="0"/>
        <v>5.0000000000000001E-4</v>
      </c>
      <c r="L3">
        <f t="shared" si="0"/>
        <v>5.0000000000000001E-4</v>
      </c>
      <c r="M3">
        <f t="shared" si="0"/>
        <v>5.0000000000000001E-4</v>
      </c>
      <c r="N3">
        <f t="shared" si="0"/>
        <v>5.0000000000000001E-4</v>
      </c>
      <c r="O3">
        <f t="shared" si="0"/>
        <v>5.0000000000000001E-4</v>
      </c>
      <c r="P3">
        <f t="shared" si="0"/>
        <v>5.0000000000000001E-4</v>
      </c>
      <c r="Q3">
        <f t="shared" si="0"/>
        <v>5.0000000000000001E-4</v>
      </c>
      <c r="R3">
        <f t="shared" si="0"/>
        <v>5.0000000000000001E-4</v>
      </c>
      <c r="S3">
        <f t="shared" si="0"/>
        <v>5.0000000000000001E-4</v>
      </c>
      <c r="T3">
        <f t="shared" si="0"/>
        <v>5.0000000000000001E-4</v>
      </c>
      <c r="U3">
        <f t="shared" si="0"/>
        <v>5.0000000000000001E-4</v>
      </c>
      <c r="V3">
        <f t="shared" si="0"/>
        <v>5.0000000000000001E-4</v>
      </c>
      <c r="W3">
        <f t="shared" si="0"/>
        <v>5.0000000000000001E-4</v>
      </c>
      <c r="X3">
        <f>$C$22</f>
        <v>5.0000000000000001E-4</v>
      </c>
      <c r="Y3">
        <f t="shared" si="0"/>
        <v>5.0000000000000001E-4</v>
      </c>
      <c r="Z3">
        <f t="shared" si="0"/>
        <v>5.0000000000000001E-4</v>
      </c>
      <c r="AA3">
        <f t="shared" si="0"/>
        <v>5.0000000000000001E-4</v>
      </c>
      <c r="AB3">
        <f t="shared" si="0"/>
        <v>5.0000000000000001E-4</v>
      </c>
      <c r="AC3">
        <f t="shared" si="0"/>
        <v>5.0000000000000001E-4</v>
      </c>
      <c r="AD3">
        <f t="shared" si="0"/>
        <v>5.0000000000000001E-4</v>
      </c>
      <c r="AE3">
        <f t="shared" si="0"/>
        <v>5.0000000000000001E-4</v>
      </c>
      <c r="AF3">
        <f t="shared" si="0"/>
        <v>5.0000000000000001E-4</v>
      </c>
      <c r="AG3">
        <f t="shared" si="0"/>
        <v>5.0000000000000001E-4</v>
      </c>
      <c r="AH3">
        <f t="shared" si="0"/>
        <v>5.0000000000000001E-4</v>
      </c>
      <c r="AI3">
        <f>$C$22</f>
        <v>5.0000000000000001E-4</v>
      </c>
      <c r="AJ3">
        <f t="shared" si="0"/>
        <v>5.0000000000000001E-4</v>
      </c>
      <c r="AK3">
        <f t="shared" si="0"/>
        <v>5.0000000000000001E-4</v>
      </c>
      <c r="AL3">
        <f t="shared" si="0"/>
        <v>5.0000000000000001E-4</v>
      </c>
      <c r="AM3">
        <f t="shared" si="0"/>
        <v>5.0000000000000001E-4</v>
      </c>
      <c r="AN3">
        <f t="shared" si="0"/>
        <v>5.0000000000000001E-4</v>
      </c>
      <c r="AO3">
        <f t="shared" si="0"/>
        <v>5.0000000000000001E-4</v>
      </c>
      <c r="AP3">
        <f t="shared" si="0"/>
        <v>5.0000000000000001E-4</v>
      </c>
      <c r="AQ3">
        <f t="shared" si="0"/>
        <v>5.0000000000000001E-4</v>
      </c>
      <c r="AR3">
        <f t="shared" si="0"/>
        <v>5.0000000000000001E-4</v>
      </c>
      <c r="AS3">
        <f t="shared" si="0"/>
        <v>5.0000000000000001E-4</v>
      </c>
      <c r="AT3">
        <f t="shared" si="0"/>
        <v>5.0000000000000001E-4</v>
      </c>
      <c r="AU3">
        <f t="shared" si="0"/>
        <v>5.0000000000000001E-4</v>
      </c>
      <c r="AV3">
        <f t="shared" si="0"/>
        <v>5.0000000000000001E-4</v>
      </c>
      <c r="AW3">
        <f t="shared" si="0"/>
        <v>5.0000000000000001E-4</v>
      </c>
      <c r="AY3" t="s">
        <v>2</v>
      </c>
      <c r="BA3">
        <v>2.5000000000000001E-3</v>
      </c>
      <c r="BC3">
        <v>0.03</v>
      </c>
      <c r="BD3">
        <v>2.5000000000000001E-3</v>
      </c>
      <c r="BE3">
        <v>2.5000000000000001E-3</v>
      </c>
      <c r="BF3">
        <v>2.5000000000000001E-3</v>
      </c>
      <c r="BG3">
        <v>2.5000000000000001E-3</v>
      </c>
      <c r="BH3">
        <v>2.5000000000000001E-3</v>
      </c>
      <c r="BI3">
        <v>2.5000000000000001E-3</v>
      </c>
      <c r="BJ3">
        <v>2.5000000000000001E-3</v>
      </c>
      <c r="BK3">
        <v>2.5000000000000001E-3</v>
      </c>
      <c r="BL3">
        <v>2.5000000000000001E-3</v>
      </c>
      <c r="BM3">
        <v>2.5000000000000001E-3</v>
      </c>
      <c r="BN3">
        <v>2.5000000000000001E-3</v>
      </c>
      <c r="BO3">
        <v>2.5000000000000001E-3</v>
      </c>
      <c r="BP3">
        <v>2.5000000000000001E-3</v>
      </c>
      <c r="BQ3">
        <v>2.5000000000000001E-3</v>
      </c>
      <c r="BR3">
        <v>2.5000000000000001E-3</v>
      </c>
      <c r="BS3">
        <v>2.5000000000000001E-3</v>
      </c>
      <c r="BT3">
        <v>2.5000000000000001E-3</v>
      </c>
      <c r="BU3">
        <v>2.5000000000000001E-3</v>
      </c>
      <c r="BV3">
        <v>2.5000000000000001E-3</v>
      </c>
      <c r="BW3">
        <v>2.5000000000000001E-3</v>
      </c>
      <c r="BX3">
        <v>2.5000000000000001E-3</v>
      </c>
      <c r="BY3">
        <v>2.5000000000000001E-3</v>
      </c>
      <c r="BZ3">
        <v>2.5000000000000001E-3</v>
      </c>
      <c r="CA3">
        <v>2.5000000000000001E-3</v>
      </c>
      <c r="CB3">
        <v>2.5000000000000001E-3</v>
      </c>
      <c r="CC3">
        <v>2.5000000000000001E-3</v>
      </c>
      <c r="CD3">
        <v>2.5000000000000001E-3</v>
      </c>
      <c r="CE3">
        <v>2.5000000000000001E-3</v>
      </c>
      <c r="CF3">
        <v>2.5000000000000001E-3</v>
      </c>
      <c r="CG3">
        <v>2.5000000000000001E-3</v>
      </c>
      <c r="CH3">
        <v>2.5000000000000001E-3</v>
      </c>
      <c r="CI3">
        <v>2.5000000000000001E-3</v>
      </c>
      <c r="CJ3">
        <v>2.5000000000000001E-3</v>
      </c>
      <c r="CK3">
        <v>2.5000000000000001E-3</v>
      </c>
      <c r="CL3">
        <v>2.5000000000000001E-3</v>
      </c>
      <c r="CM3">
        <v>2.5000000000000001E-3</v>
      </c>
      <c r="CN3">
        <v>2.5000000000000001E-3</v>
      </c>
      <c r="CO3">
        <v>2.5000000000000001E-3</v>
      </c>
      <c r="CP3">
        <v>2.5000000000000001E-3</v>
      </c>
      <c r="CQ3">
        <v>2.5000000000000001E-3</v>
      </c>
      <c r="CR3">
        <v>2.5000000000000001E-3</v>
      </c>
    </row>
    <row r="4" spans="3:96" x14ac:dyDescent="0.25">
      <c r="D4" t="s">
        <v>52</v>
      </c>
      <c r="F4">
        <f t="shared" ref="F4:F44" si="1">$C$16</f>
        <v>-2.5000000000000001E-2</v>
      </c>
      <c r="H4">
        <v>0</v>
      </c>
      <c r="I4">
        <f>$C$19</f>
        <v>0.2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Y4" t="s">
        <v>52</v>
      </c>
      <c r="BA4">
        <v>2.5000000000000001E-3</v>
      </c>
      <c r="BC4">
        <v>0</v>
      </c>
      <c r="BD4">
        <v>0.03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</row>
    <row r="5" spans="3:96" x14ac:dyDescent="0.25">
      <c r="D5" t="s">
        <v>53</v>
      </c>
      <c r="F5">
        <f t="shared" si="1"/>
        <v>-2.5000000000000001E-2</v>
      </c>
      <c r="H5">
        <v>0</v>
      </c>
      <c r="I5">
        <v>0</v>
      </c>
      <c r="J5">
        <f>$C$19</f>
        <v>0.2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Y5" t="s">
        <v>53</v>
      </c>
      <c r="BA5">
        <v>2.5000000000000001E-3</v>
      </c>
      <c r="BC5">
        <v>0</v>
      </c>
      <c r="BD5">
        <v>0</v>
      </c>
      <c r="BE5">
        <v>0.03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</row>
    <row r="6" spans="3:96" x14ac:dyDescent="0.25">
      <c r="F6">
        <f t="shared" si="1"/>
        <v>-2.5000000000000001E-2</v>
      </c>
      <c r="H6">
        <v>0</v>
      </c>
      <c r="I6">
        <v>0</v>
      </c>
      <c r="J6">
        <v>0</v>
      </c>
      <c r="K6">
        <f>$C$19</f>
        <v>0.2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BA6">
        <v>2.5000000000000001E-3</v>
      </c>
      <c r="BC6">
        <v>0</v>
      </c>
      <c r="BD6">
        <v>0</v>
      </c>
      <c r="BE6">
        <v>0</v>
      </c>
      <c r="BF6">
        <v>0.03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</row>
    <row r="7" spans="3:96" x14ac:dyDescent="0.25">
      <c r="F7">
        <f t="shared" si="1"/>
        <v>-2.5000000000000001E-2</v>
      </c>
      <c r="H7">
        <v>0</v>
      </c>
      <c r="I7">
        <v>0</v>
      </c>
      <c r="J7">
        <v>0</v>
      </c>
      <c r="K7">
        <v>0</v>
      </c>
      <c r="L7">
        <f>$C$19</f>
        <v>0.2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BA7">
        <v>2.5000000000000001E-3</v>
      </c>
      <c r="BC7">
        <v>0</v>
      </c>
      <c r="BD7">
        <v>0</v>
      </c>
      <c r="BE7">
        <v>0</v>
      </c>
      <c r="BF7">
        <v>0</v>
      </c>
      <c r="BG7">
        <v>0.03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</row>
    <row r="8" spans="3:96" x14ac:dyDescent="0.25">
      <c r="F8">
        <f t="shared" si="1"/>
        <v>-2.5000000000000001E-2</v>
      </c>
      <c r="H8">
        <v>0</v>
      </c>
      <c r="I8">
        <v>0</v>
      </c>
      <c r="J8">
        <v>0</v>
      </c>
      <c r="K8">
        <v>0</v>
      </c>
      <c r="L8">
        <v>0</v>
      </c>
      <c r="M8">
        <f>$C$19</f>
        <v>0.2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BA8">
        <v>2.5000000000000001E-3</v>
      </c>
      <c r="BC8">
        <v>0</v>
      </c>
      <c r="BD8">
        <v>0</v>
      </c>
      <c r="BE8">
        <v>0</v>
      </c>
      <c r="BF8">
        <v>0</v>
      </c>
      <c r="BG8">
        <v>0</v>
      </c>
      <c r="BH8">
        <v>0.03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</row>
    <row r="9" spans="3:96" x14ac:dyDescent="0.25">
      <c r="F9">
        <f t="shared" si="1"/>
        <v>-2.5000000000000001E-2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f>$C$19</f>
        <v>0.2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BA9">
        <v>2.5000000000000001E-3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0.03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</row>
    <row r="10" spans="3:96" x14ac:dyDescent="0.25">
      <c r="C10" t="s">
        <v>57</v>
      </c>
      <c r="F10">
        <f t="shared" si="1"/>
        <v>-2.5000000000000001E-2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f>$C$19</f>
        <v>0.2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 t="s">
        <v>57</v>
      </c>
      <c r="BA10">
        <v>2.5000000000000001E-3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0.03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</row>
    <row r="11" spans="3:96" x14ac:dyDescent="0.25">
      <c r="C11">
        <v>42</v>
      </c>
      <c r="F11">
        <f t="shared" si="1"/>
        <v>-2.5000000000000001E-2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f>$C$19</f>
        <v>0.2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42</v>
      </c>
      <c r="BA11">
        <v>2.5000000000000001E-3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0.03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</row>
    <row r="12" spans="3:96" x14ac:dyDescent="0.25">
      <c r="F12">
        <f t="shared" si="1"/>
        <v>-2.5000000000000001E-2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f>$C$19</f>
        <v>0.2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BA12">
        <v>2.5000000000000001E-3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0.03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</row>
    <row r="13" spans="3:96" x14ac:dyDescent="0.25">
      <c r="F13">
        <f t="shared" si="1"/>
        <v>-2.5000000000000001E-2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f>$C$19</f>
        <v>0.2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BA13">
        <v>2.5000000000000001E-3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0.03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</row>
    <row r="14" spans="3:96" x14ac:dyDescent="0.25">
      <c r="F14">
        <f t="shared" si="1"/>
        <v>-2.5000000000000001E-2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f>$C$19</f>
        <v>0.2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BA14">
        <v>2.5000000000000001E-3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0.03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</row>
    <row r="15" spans="3:96" x14ac:dyDescent="0.25">
      <c r="C15" t="s">
        <v>58</v>
      </c>
      <c r="F15">
        <f t="shared" si="1"/>
        <v>-2.5000000000000001E-2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f>$C$19</f>
        <v>0.2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 t="s">
        <v>58</v>
      </c>
      <c r="BA15">
        <v>2.5000000000000001E-3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0.03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</row>
    <row r="16" spans="3:96" x14ac:dyDescent="0.25">
      <c r="C16">
        <v>-2.5000000000000001E-2</v>
      </c>
      <c r="F16">
        <f t="shared" si="1"/>
        <v>-2.5000000000000001E-2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f>$C$19</f>
        <v>0.2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2.5000000000000001E-3</v>
      </c>
      <c r="BA16">
        <v>2.5000000000000001E-3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0.03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</row>
    <row r="17" spans="3:96" x14ac:dyDescent="0.25">
      <c r="F17">
        <f t="shared" si="1"/>
        <v>-2.5000000000000001E-2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f>$C$19</f>
        <v>0.2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BA17">
        <v>2.5000000000000001E-3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0.03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</row>
    <row r="18" spans="3:96" x14ac:dyDescent="0.25">
      <c r="C18" t="s">
        <v>60</v>
      </c>
      <c r="F18">
        <f t="shared" si="1"/>
        <v>-2.5000000000000001E-2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f>$C$19</f>
        <v>0.2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 t="s">
        <v>60</v>
      </c>
      <c r="BA18">
        <v>2.5000000000000001E-3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0.03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</row>
    <row r="19" spans="3:96" x14ac:dyDescent="0.25">
      <c r="C19">
        <v>0.2</v>
      </c>
      <c r="F19">
        <f t="shared" si="1"/>
        <v>-2.5000000000000001E-2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f>$C$19</f>
        <v>0.2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0.03</v>
      </c>
      <c r="BA19">
        <v>2.5000000000000001E-3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0.03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</row>
    <row r="20" spans="3:96" x14ac:dyDescent="0.25">
      <c r="F20">
        <f t="shared" si="1"/>
        <v>-2.5000000000000001E-2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f>$C$19</f>
        <v>0.2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BA20">
        <v>2.5000000000000001E-3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0.03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</row>
    <row r="21" spans="3:96" x14ac:dyDescent="0.25">
      <c r="C21" t="s">
        <v>59</v>
      </c>
      <c r="F21">
        <f t="shared" si="1"/>
        <v>-2.5000000000000001E-2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f>$C$19</f>
        <v>0.2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 t="s">
        <v>59</v>
      </c>
      <c r="BA21">
        <v>2.5000000000000001E-3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0.03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</row>
    <row r="22" spans="3:96" x14ac:dyDescent="0.25">
      <c r="C22">
        <v>5.0000000000000001E-4</v>
      </c>
      <c r="F22">
        <f t="shared" si="1"/>
        <v>-2.5000000000000001E-2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f>$C$19</f>
        <v>0.2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2.5000000000000001E-3</v>
      </c>
      <c r="BA22">
        <v>2.5000000000000001E-3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0.03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</row>
    <row r="23" spans="3:96" x14ac:dyDescent="0.25">
      <c r="F23">
        <f t="shared" si="1"/>
        <v>-2.5000000000000001E-2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f>$C$19</f>
        <v>0.2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BA23">
        <v>2.5000000000000001E-3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0.03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</row>
    <row r="24" spans="3:96" x14ac:dyDescent="0.25">
      <c r="F24">
        <f t="shared" si="1"/>
        <v>-2.5000000000000001E-2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f>$C$19</f>
        <v>0.2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BA24">
        <v>2.5000000000000001E-3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0.03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</row>
    <row r="25" spans="3:96" x14ac:dyDescent="0.25">
      <c r="F25">
        <f t="shared" si="1"/>
        <v>-2.5000000000000001E-2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f>$C$19</f>
        <v>0.2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BA25">
        <v>2.5000000000000001E-3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0.03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</row>
    <row r="26" spans="3:96" x14ac:dyDescent="0.25">
      <c r="C26" t="s">
        <v>54</v>
      </c>
      <c r="F26">
        <f t="shared" si="1"/>
        <v>-2.5000000000000001E-2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f>$C$19</f>
        <v>0.2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 t="s">
        <v>54</v>
      </c>
      <c r="BA26">
        <v>2.5000000000000001E-3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0.03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</row>
    <row r="27" spans="3:96" x14ac:dyDescent="0.25">
      <c r="C27" t="s">
        <v>55</v>
      </c>
      <c r="F27">
        <f t="shared" si="1"/>
        <v>-2.5000000000000001E-2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f>$C$19</f>
        <v>0.2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 t="s">
        <v>55</v>
      </c>
      <c r="BA27">
        <v>2.5000000000000001E-3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0.03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</row>
    <row r="28" spans="3:96" x14ac:dyDescent="0.25">
      <c r="C28" t="s">
        <v>56</v>
      </c>
      <c r="F28">
        <f t="shared" si="1"/>
        <v>-2.5000000000000001E-2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f>$C$19</f>
        <v>0.2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 t="s">
        <v>56</v>
      </c>
      <c r="BA28">
        <v>2.5000000000000001E-3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0.03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</row>
    <row r="29" spans="3:96" x14ac:dyDescent="0.25">
      <c r="F29">
        <f t="shared" si="1"/>
        <v>-2.5000000000000001E-2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f>$C$19</f>
        <v>0.2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BA29">
        <v>2.5000000000000001E-3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0.03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</row>
    <row r="30" spans="3:96" x14ac:dyDescent="0.25">
      <c r="F30">
        <f t="shared" si="1"/>
        <v>-2.5000000000000001E-2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f>$C$19</f>
        <v>0.2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BA30">
        <v>2.5000000000000001E-3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0.03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</row>
    <row r="31" spans="3:96" x14ac:dyDescent="0.25">
      <c r="F31">
        <f t="shared" si="1"/>
        <v>-2.5000000000000001E-2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f>$C$19</f>
        <v>0.2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BA31">
        <v>2.5000000000000001E-3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0.03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</row>
    <row r="32" spans="3:96" x14ac:dyDescent="0.25">
      <c r="F32">
        <f t="shared" si="1"/>
        <v>-2.5000000000000001E-2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f>$C$19</f>
        <v>0.2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BA32">
        <v>2.5000000000000001E-3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0.03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</row>
    <row r="33" spans="4:96" x14ac:dyDescent="0.25">
      <c r="F33">
        <f t="shared" si="1"/>
        <v>-2.5000000000000001E-2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f>$C$19</f>
        <v>0.2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BA33">
        <v>2.5000000000000001E-3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0.03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</row>
    <row r="34" spans="4:96" x14ac:dyDescent="0.25">
      <c r="F34">
        <f t="shared" si="1"/>
        <v>-2.5000000000000001E-2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f>$C$19</f>
        <v>0.2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BA34">
        <v>2.5000000000000001E-3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0.03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</row>
    <row r="35" spans="4:96" x14ac:dyDescent="0.25">
      <c r="F35">
        <f t="shared" si="1"/>
        <v>-2.5000000000000001E-2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f>$C$19</f>
        <v>0.2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BA35">
        <v>2.5000000000000001E-3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0.03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</row>
    <row r="36" spans="4:96" x14ac:dyDescent="0.25">
      <c r="F36">
        <f t="shared" si="1"/>
        <v>-2.5000000000000001E-2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f>$C$19</f>
        <v>0.2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BA36">
        <v>2.5000000000000001E-3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0.03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</row>
    <row r="37" spans="4:96" x14ac:dyDescent="0.25">
      <c r="F37">
        <f t="shared" si="1"/>
        <v>-2.5000000000000001E-2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f>$C$19</f>
        <v>0.2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BA37">
        <v>2.5000000000000001E-3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0.03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</row>
    <row r="38" spans="4:96" x14ac:dyDescent="0.25">
      <c r="F38">
        <f t="shared" si="1"/>
        <v>-2.5000000000000001E-2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f>$C$19</f>
        <v>0.2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BA38">
        <v>2.5000000000000001E-3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0.03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</row>
    <row r="39" spans="4:96" x14ac:dyDescent="0.25">
      <c r="F39">
        <f t="shared" si="1"/>
        <v>-2.5000000000000001E-2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f>$C$19</f>
        <v>0.2</v>
      </c>
      <c r="AS39">
        <v>0</v>
      </c>
      <c r="AT39">
        <v>0</v>
      </c>
      <c r="AU39">
        <v>0</v>
      </c>
      <c r="AV39">
        <v>0</v>
      </c>
      <c r="AW39">
        <v>0</v>
      </c>
      <c r="BA39">
        <v>2.5000000000000001E-3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0.03</v>
      </c>
      <c r="CN39">
        <v>0</v>
      </c>
      <c r="CO39">
        <v>0</v>
      </c>
      <c r="CP39">
        <v>0</v>
      </c>
      <c r="CQ39">
        <v>0</v>
      </c>
      <c r="CR39">
        <v>0</v>
      </c>
    </row>
    <row r="40" spans="4:96" x14ac:dyDescent="0.25">
      <c r="F40">
        <f t="shared" si="1"/>
        <v>-2.5000000000000001E-2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f>$C$19</f>
        <v>0.2</v>
      </c>
      <c r="AT40">
        <v>0</v>
      </c>
      <c r="AU40">
        <v>0</v>
      </c>
      <c r="AV40">
        <v>0</v>
      </c>
      <c r="AW40">
        <v>0</v>
      </c>
      <c r="BA40">
        <v>2.5000000000000001E-3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0.03</v>
      </c>
      <c r="CO40">
        <v>0</v>
      </c>
      <c r="CP40">
        <v>0</v>
      </c>
      <c r="CQ40">
        <v>0</v>
      </c>
      <c r="CR40">
        <v>0</v>
      </c>
    </row>
    <row r="41" spans="4:96" x14ac:dyDescent="0.25">
      <c r="F41">
        <f t="shared" si="1"/>
        <v>-2.5000000000000001E-2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f>$C$19</f>
        <v>0.2</v>
      </c>
      <c r="AU41">
        <v>0</v>
      </c>
      <c r="AV41">
        <v>0</v>
      </c>
      <c r="AW41">
        <v>0</v>
      </c>
      <c r="BA41">
        <v>2.5000000000000001E-3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0.03</v>
      </c>
      <c r="CP41">
        <v>0</v>
      </c>
      <c r="CQ41">
        <v>0</v>
      </c>
      <c r="CR41">
        <v>0</v>
      </c>
    </row>
    <row r="42" spans="4:96" x14ac:dyDescent="0.25">
      <c r="F42">
        <f t="shared" si="1"/>
        <v>-2.5000000000000001E-2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f>$C$19</f>
        <v>0.2</v>
      </c>
      <c r="AV42">
        <v>0</v>
      </c>
      <c r="AW42">
        <v>0</v>
      </c>
      <c r="BA42">
        <v>2.5000000000000001E-3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0.03</v>
      </c>
      <c r="CQ42">
        <v>0</v>
      </c>
      <c r="CR42">
        <v>0</v>
      </c>
    </row>
    <row r="43" spans="4:96" x14ac:dyDescent="0.25">
      <c r="F43">
        <f t="shared" si="1"/>
        <v>-2.5000000000000001E-2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f>$C$19</f>
        <v>0.2</v>
      </c>
      <c r="AW43">
        <v>0</v>
      </c>
      <c r="BA43">
        <v>2.5000000000000001E-3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0.03</v>
      </c>
      <c r="CR43">
        <v>0</v>
      </c>
    </row>
    <row r="44" spans="4:96" x14ac:dyDescent="0.25">
      <c r="F44">
        <f t="shared" si="1"/>
        <v>-2.5000000000000001E-2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f>$C$19</f>
        <v>0.2</v>
      </c>
      <c r="BA44">
        <v>2.5000000000000001E-3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0.03</v>
      </c>
    </row>
    <row r="46" spans="4:96" x14ac:dyDescent="0.25">
      <c r="D46" t="s">
        <v>2</v>
      </c>
      <c r="F46">
        <v>1E-3</v>
      </c>
      <c r="H46">
        <v>0.01</v>
      </c>
      <c r="I46">
        <v>2.5000000000000001E-3</v>
      </c>
      <c r="J46">
        <v>2.5000000000000001E-3</v>
      </c>
      <c r="K46">
        <v>2.5000000000000001E-3</v>
      </c>
      <c r="L46">
        <v>2.5000000000000001E-3</v>
      </c>
      <c r="M46">
        <v>2.5000000000000001E-3</v>
      </c>
      <c r="N46">
        <v>2.5000000000000001E-3</v>
      </c>
      <c r="O46">
        <v>2.5000000000000001E-3</v>
      </c>
      <c r="P46">
        <v>2.5000000000000001E-3</v>
      </c>
      <c r="Q46">
        <v>2.5000000000000001E-3</v>
      </c>
      <c r="R46">
        <v>2.5000000000000001E-3</v>
      </c>
      <c r="S46">
        <v>2.5000000000000001E-3</v>
      </c>
      <c r="T46">
        <v>2.5000000000000001E-3</v>
      </c>
      <c r="U46">
        <v>2.5000000000000001E-3</v>
      </c>
      <c r="V46">
        <v>2.5000000000000001E-3</v>
      </c>
      <c r="W46">
        <v>2.5000000000000001E-3</v>
      </c>
      <c r="X46">
        <v>2.5000000000000001E-3</v>
      </c>
      <c r="Y46">
        <v>2.5000000000000001E-3</v>
      </c>
      <c r="Z46">
        <v>2.5000000000000001E-3</v>
      </c>
      <c r="AA46">
        <v>2.5000000000000001E-3</v>
      </c>
      <c r="AB46">
        <v>2.5000000000000001E-3</v>
      </c>
      <c r="AC46">
        <v>2.5000000000000001E-3</v>
      </c>
      <c r="AD46">
        <v>2.5000000000000001E-3</v>
      </c>
      <c r="AE46">
        <v>2.5000000000000001E-3</v>
      </c>
      <c r="AF46">
        <v>2.5000000000000001E-3</v>
      </c>
      <c r="AG46">
        <v>2.5000000000000001E-3</v>
      </c>
      <c r="AH46">
        <v>2.5000000000000001E-3</v>
      </c>
      <c r="AI46">
        <v>2.5000000000000001E-3</v>
      </c>
      <c r="AJ46">
        <v>2.5000000000000001E-3</v>
      </c>
      <c r="AK46">
        <v>2.5000000000000001E-3</v>
      </c>
      <c r="AL46">
        <v>2.5000000000000001E-3</v>
      </c>
      <c r="AM46">
        <v>2.5000000000000001E-3</v>
      </c>
      <c r="AN46">
        <v>2.5000000000000001E-3</v>
      </c>
      <c r="AO46">
        <v>2.5000000000000001E-3</v>
      </c>
      <c r="AP46">
        <v>2.5000000000000001E-3</v>
      </c>
      <c r="AQ46">
        <v>2.5000000000000001E-3</v>
      </c>
      <c r="AR46">
        <v>2.5000000000000001E-3</v>
      </c>
      <c r="AS46">
        <v>2.5000000000000001E-3</v>
      </c>
      <c r="AT46">
        <v>2.5000000000000001E-3</v>
      </c>
      <c r="AU46">
        <v>2.5000000000000001E-3</v>
      </c>
      <c r="AV46">
        <v>2.5000000000000001E-3</v>
      </c>
      <c r="AW46">
        <v>2.5000000000000001E-3</v>
      </c>
      <c r="AY46" t="s">
        <v>2</v>
      </c>
      <c r="BA46">
        <f>$C$16</f>
        <v>-2.5000000000000001E-2</v>
      </c>
      <c r="BC46">
        <f>$C$19</f>
        <v>0.2</v>
      </c>
      <c r="BD46">
        <f t="shared" ref="BD46:CR46" si="2">$C$22</f>
        <v>5.0000000000000001E-4</v>
      </c>
      <c r="BE46">
        <f t="shared" si="2"/>
        <v>5.0000000000000001E-4</v>
      </c>
      <c r="BF46">
        <f t="shared" si="2"/>
        <v>5.0000000000000001E-4</v>
      </c>
      <c r="BG46">
        <f t="shared" si="2"/>
        <v>5.0000000000000001E-4</v>
      </c>
      <c r="BH46">
        <f t="shared" si="2"/>
        <v>5.0000000000000001E-4</v>
      </c>
      <c r="BI46">
        <f t="shared" si="2"/>
        <v>5.0000000000000001E-4</v>
      </c>
      <c r="BJ46">
        <f t="shared" si="2"/>
        <v>5.0000000000000001E-4</v>
      </c>
      <c r="BK46">
        <f t="shared" si="2"/>
        <v>5.0000000000000001E-4</v>
      </c>
      <c r="BL46">
        <f t="shared" si="2"/>
        <v>5.0000000000000001E-4</v>
      </c>
      <c r="BM46">
        <f t="shared" si="2"/>
        <v>5.0000000000000001E-4</v>
      </c>
      <c r="BN46">
        <f t="shared" si="2"/>
        <v>5.0000000000000001E-4</v>
      </c>
      <c r="BO46">
        <f t="shared" si="2"/>
        <v>5.0000000000000001E-4</v>
      </c>
      <c r="BP46">
        <f t="shared" si="2"/>
        <v>5.0000000000000001E-4</v>
      </c>
      <c r="BQ46">
        <f t="shared" si="2"/>
        <v>5.0000000000000001E-4</v>
      </c>
      <c r="BR46">
        <f t="shared" si="2"/>
        <v>5.0000000000000001E-4</v>
      </c>
      <c r="BS46">
        <f>$C$22</f>
        <v>5.0000000000000001E-4</v>
      </c>
      <c r="BT46">
        <f t="shared" si="2"/>
        <v>5.0000000000000001E-4</v>
      </c>
      <c r="BU46">
        <f t="shared" si="2"/>
        <v>5.0000000000000001E-4</v>
      </c>
      <c r="BV46">
        <f t="shared" si="2"/>
        <v>5.0000000000000001E-4</v>
      </c>
      <c r="BW46">
        <f t="shared" si="2"/>
        <v>5.0000000000000001E-4</v>
      </c>
      <c r="BX46">
        <f t="shared" si="2"/>
        <v>5.0000000000000001E-4</v>
      </c>
      <c r="BY46">
        <f t="shared" si="2"/>
        <v>5.0000000000000001E-4</v>
      </c>
      <c r="BZ46">
        <f t="shared" si="2"/>
        <v>5.0000000000000001E-4</v>
      </c>
      <c r="CA46">
        <f t="shared" si="2"/>
        <v>5.0000000000000001E-4</v>
      </c>
      <c r="CB46">
        <f t="shared" si="2"/>
        <v>5.0000000000000001E-4</v>
      </c>
      <c r="CC46">
        <f t="shared" si="2"/>
        <v>5.0000000000000001E-4</v>
      </c>
      <c r="CD46">
        <f>$C$22</f>
        <v>5.0000000000000001E-4</v>
      </c>
      <c r="CE46">
        <f t="shared" si="2"/>
        <v>5.0000000000000001E-4</v>
      </c>
      <c r="CF46">
        <f t="shared" si="2"/>
        <v>5.0000000000000001E-4</v>
      </c>
      <c r="CG46">
        <f t="shared" si="2"/>
        <v>5.0000000000000001E-4</v>
      </c>
      <c r="CH46">
        <f t="shared" si="2"/>
        <v>5.0000000000000001E-4</v>
      </c>
      <c r="CI46">
        <f t="shared" si="2"/>
        <v>5.0000000000000001E-4</v>
      </c>
      <c r="CJ46">
        <f t="shared" si="2"/>
        <v>5.0000000000000001E-4</v>
      </c>
      <c r="CK46">
        <f t="shared" si="2"/>
        <v>5.0000000000000001E-4</v>
      </c>
      <c r="CL46">
        <f t="shared" si="2"/>
        <v>5.0000000000000001E-4</v>
      </c>
      <c r="CM46">
        <f t="shared" si="2"/>
        <v>5.0000000000000001E-4</v>
      </c>
      <c r="CN46">
        <f t="shared" si="2"/>
        <v>5.0000000000000001E-4</v>
      </c>
      <c r="CO46">
        <f t="shared" si="2"/>
        <v>5.0000000000000001E-4</v>
      </c>
      <c r="CP46">
        <f t="shared" si="2"/>
        <v>5.0000000000000001E-4</v>
      </c>
      <c r="CQ46">
        <f t="shared" si="2"/>
        <v>5.0000000000000001E-4</v>
      </c>
      <c r="CR46">
        <f t="shared" si="2"/>
        <v>5.0000000000000001E-4</v>
      </c>
    </row>
    <row r="47" spans="4:96" x14ac:dyDescent="0.25">
      <c r="D47" t="s">
        <v>52</v>
      </c>
      <c r="F47">
        <v>1E-3</v>
      </c>
      <c r="H47">
        <v>0</v>
      </c>
      <c r="I47">
        <v>0.01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Y47" t="s">
        <v>52</v>
      </c>
      <c r="BA47">
        <f t="shared" ref="BA47:BA87" si="3">$C$16</f>
        <v>-2.5000000000000001E-2</v>
      </c>
      <c r="BC47">
        <v>0</v>
      </c>
      <c r="BD47">
        <f>$C$19</f>
        <v>0.2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</row>
    <row r="48" spans="4:96" x14ac:dyDescent="0.25">
      <c r="D48" t="s">
        <v>53</v>
      </c>
      <c r="F48">
        <v>1E-3</v>
      </c>
      <c r="H48">
        <v>0</v>
      </c>
      <c r="I48">
        <v>0</v>
      </c>
      <c r="J48">
        <v>0.01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Y48" t="s">
        <v>53</v>
      </c>
      <c r="BA48">
        <f t="shared" si="3"/>
        <v>-2.5000000000000001E-2</v>
      </c>
      <c r="BC48">
        <v>0</v>
      </c>
      <c r="BD48">
        <v>0</v>
      </c>
      <c r="BE48">
        <f>$C$19</f>
        <v>0.2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</row>
    <row r="49" spans="3:96" x14ac:dyDescent="0.25">
      <c r="F49">
        <v>1E-3</v>
      </c>
      <c r="H49">
        <v>0</v>
      </c>
      <c r="I49">
        <v>0</v>
      </c>
      <c r="J49">
        <v>0</v>
      </c>
      <c r="K49">
        <v>0.01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BA49">
        <f t="shared" si="3"/>
        <v>-2.5000000000000001E-2</v>
      </c>
      <c r="BC49">
        <v>0</v>
      </c>
      <c r="BD49">
        <v>0</v>
      </c>
      <c r="BE49">
        <v>0</v>
      </c>
      <c r="BF49">
        <f>$C$19</f>
        <v>0.2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</row>
    <row r="50" spans="3:96" x14ac:dyDescent="0.25">
      <c r="F50">
        <v>1E-3</v>
      </c>
      <c r="H50">
        <v>0</v>
      </c>
      <c r="I50">
        <v>0</v>
      </c>
      <c r="J50">
        <v>0</v>
      </c>
      <c r="K50">
        <v>0</v>
      </c>
      <c r="L50">
        <v>0.01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BA50">
        <f t="shared" si="3"/>
        <v>-2.5000000000000001E-2</v>
      </c>
      <c r="BC50">
        <v>0</v>
      </c>
      <c r="BD50">
        <v>0</v>
      </c>
      <c r="BE50">
        <v>0</v>
      </c>
      <c r="BF50">
        <v>0</v>
      </c>
      <c r="BG50">
        <f>$C$19</f>
        <v>0.2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</row>
    <row r="51" spans="3:96" x14ac:dyDescent="0.25">
      <c r="F51">
        <v>1E-3</v>
      </c>
      <c r="H51">
        <v>0</v>
      </c>
      <c r="I51">
        <v>0</v>
      </c>
      <c r="J51">
        <v>0</v>
      </c>
      <c r="K51">
        <v>0</v>
      </c>
      <c r="L51">
        <v>0</v>
      </c>
      <c r="M51">
        <v>0.01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BA51">
        <f t="shared" si="3"/>
        <v>-2.5000000000000001E-2</v>
      </c>
      <c r="BC51">
        <v>0</v>
      </c>
      <c r="BD51">
        <v>0</v>
      </c>
      <c r="BE51">
        <v>0</v>
      </c>
      <c r="BF51">
        <v>0</v>
      </c>
      <c r="BG51">
        <v>0</v>
      </c>
      <c r="BH51">
        <f>$C$19</f>
        <v>0.2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</row>
    <row r="52" spans="3:96" x14ac:dyDescent="0.25">
      <c r="F52">
        <v>1E-3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0.01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BA52">
        <f t="shared" si="3"/>
        <v>-2.5000000000000001E-2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f>$C$19</f>
        <v>0.2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</row>
    <row r="53" spans="3:96" x14ac:dyDescent="0.25">
      <c r="C53" t="s">
        <v>57</v>
      </c>
      <c r="F53">
        <v>1E-3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0.01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BA53">
        <f t="shared" si="3"/>
        <v>-2.5000000000000001E-2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f>$C$19</f>
        <v>0.2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</row>
    <row r="54" spans="3:96" x14ac:dyDescent="0.25">
      <c r="C54">
        <v>42</v>
      </c>
      <c r="F54">
        <v>1E-3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0.01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 t="s">
        <v>57</v>
      </c>
      <c r="BA54">
        <f t="shared" si="3"/>
        <v>-2.5000000000000001E-2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f>$C$19</f>
        <v>0.2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</row>
    <row r="55" spans="3:96" x14ac:dyDescent="0.25">
      <c r="F55">
        <v>1E-3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0.01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42</v>
      </c>
      <c r="BA55">
        <f t="shared" si="3"/>
        <v>-2.5000000000000001E-2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f>$C$19</f>
        <v>0.2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</row>
    <row r="56" spans="3:96" x14ac:dyDescent="0.25">
      <c r="F56">
        <v>1E-3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0.01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BA56">
        <f t="shared" si="3"/>
        <v>-2.5000000000000001E-2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f>$C$19</f>
        <v>0.2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</row>
    <row r="57" spans="3:96" x14ac:dyDescent="0.25">
      <c r="F57">
        <v>1E-3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0.01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BA57">
        <f t="shared" si="3"/>
        <v>-2.5000000000000001E-2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f>$C$19</f>
        <v>0.2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</row>
    <row r="58" spans="3:96" x14ac:dyDescent="0.25">
      <c r="C58" t="s">
        <v>58</v>
      </c>
      <c r="F58">
        <v>1E-3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0.01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BA58">
        <f t="shared" si="3"/>
        <v>-2.5000000000000001E-2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f>$C$19</f>
        <v>0.2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</row>
    <row r="59" spans="3:96" x14ac:dyDescent="0.25">
      <c r="C59">
        <v>1E-3</v>
      </c>
      <c r="F59">
        <v>1E-3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0.01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 t="s">
        <v>58</v>
      </c>
      <c r="BA59">
        <f t="shared" si="3"/>
        <v>-2.5000000000000001E-2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f>$C$19</f>
        <v>0.2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</row>
    <row r="60" spans="3:96" x14ac:dyDescent="0.25">
      <c r="F60">
        <v>1E-3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0.01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0.5</v>
      </c>
      <c r="BA60">
        <f t="shared" si="3"/>
        <v>-2.5000000000000001E-2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f>$C$19</f>
        <v>0.2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</row>
    <row r="61" spans="3:96" x14ac:dyDescent="0.25">
      <c r="C61" t="s">
        <v>60</v>
      </c>
      <c r="F61">
        <v>1E-3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0.01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BA61">
        <f t="shared" si="3"/>
        <v>-2.5000000000000001E-2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f>$C$19</f>
        <v>0.2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</row>
    <row r="62" spans="3:96" x14ac:dyDescent="0.25">
      <c r="C62">
        <v>0.01</v>
      </c>
      <c r="F62">
        <v>1E-3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0.01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 t="s">
        <v>60</v>
      </c>
      <c r="BA62">
        <f t="shared" si="3"/>
        <v>-2.5000000000000001E-2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f>$C$19</f>
        <v>0.2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</row>
    <row r="63" spans="3:96" x14ac:dyDescent="0.25">
      <c r="F63">
        <v>1E-3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0.01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0.02</v>
      </c>
      <c r="BA63">
        <f t="shared" si="3"/>
        <v>-2.5000000000000001E-2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f>$C$19</f>
        <v>0.2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</row>
    <row r="64" spans="3:96" x14ac:dyDescent="0.25">
      <c r="C64" t="s">
        <v>59</v>
      </c>
      <c r="F64">
        <v>1E-3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0.01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BA64">
        <f t="shared" si="3"/>
        <v>-2.5000000000000001E-2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f>$C$19</f>
        <v>0.2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</row>
    <row r="65" spans="3:96" x14ac:dyDescent="0.25">
      <c r="C65">
        <v>2.5000000000000001E-3</v>
      </c>
      <c r="F65">
        <v>1E-3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0.01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 t="s">
        <v>59</v>
      </c>
      <c r="BA65">
        <f t="shared" si="3"/>
        <v>-2.5000000000000001E-2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f>$C$19</f>
        <v>0.2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</row>
    <row r="66" spans="3:96" x14ac:dyDescent="0.25">
      <c r="F66">
        <v>1E-3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0.01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5.0000000000000001E-4</v>
      </c>
      <c r="BA66">
        <f t="shared" si="3"/>
        <v>-2.5000000000000001E-2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f>$C$19</f>
        <v>0.2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</row>
    <row r="67" spans="3:96" x14ac:dyDescent="0.25">
      <c r="F67">
        <v>1E-3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0.01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BA67">
        <f t="shared" si="3"/>
        <v>-2.5000000000000001E-2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f>$C$19</f>
        <v>0.2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</row>
    <row r="68" spans="3:96" x14ac:dyDescent="0.25">
      <c r="F68">
        <v>1E-3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0.01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BA68">
        <f t="shared" si="3"/>
        <v>-2.5000000000000001E-2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f>$C$19</f>
        <v>0.2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</row>
    <row r="69" spans="3:96" x14ac:dyDescent="0.25">
      <c r="C69" t="s">
        <v>54</v>
      </c>
      <c r="F69">
        <v>1E-3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0.01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BA69">
        <f t="shared" si="3"/>
        <v>-2.5000000000000001E-2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f>$C$19</f>
        <v>0.2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</row>
    <row r="70" spans="3:96" x14ac:dyDescent="0.25">
      <c r="C70" t="s">
        <v>55</v>
      </c>
      <c r="F70">
        <v>1E-3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0.01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 t="s">
        <v>54</v>
      </c>
      <c r="BA70">
        <f t="shared" si="3"/>
        <v>-2.5000000000000001E-2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f>$C$19</f>
        <v>0.2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</row>
    <row r="71" spans="3:96" x14ac:dyDescent="0.25">
      <c r="C71" t="s">
        <v>56</v>
      </c>
      <c r="F71">
        <v>1E-3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0.01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 t="s">
        <v>55</v>
      </c>
      <c r="BA71">
        <f t="shared" si="3"/>
        <v>-2.5000000000000001E-2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f>$C$19</f>
        <v>0.2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</row>
    <row r="72" spans="3:96" x14ac:dyDescent="0.25">
      <c r="F72">
        <v>1E-3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0.01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 t="s">
        <v>56</v>
      </c>
      <c r="BA72">
        <f t="shared" si="3"/>
        <v>-2.5000000000000001E-2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f>$C$19</f>
        <v>0.2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</row>
    <row r="73" spans="3:96" x14ac:dyDescent="0.25">
      <c r="F73">
        <v>1E-3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0.01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BA73">
        <f t="shared" si="3"/>
        <v>-2.5000000000000001E-2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f>$C$19</f>
        <v>0.2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</row>
    <row r="74" spans="3:96" x14ac:dyDescent="0.25">
      <c r="F74">
        <v>1E-3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0.01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BA74">
        <f t="shared" si="3"/>
        <v>-2.5000000000000001E-2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f>$C$19</f>
        <v>0.2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</row>
    <row r="75" spans="3:96" x14ac:dyDescent="0.25">
      <c r="F75">
        <v>1E-3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0.01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BA75">
        <f t="shared" si="3"/>
        <v>-2.5000000000000001E-2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f>$C$19</f>
        <v>0.2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</row>
    <row r="76" spans="3:96" x14ac:dyDescent="0.25">
      <c r="F76">
        <v>1E-3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0.01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BA76">
        <f t="shared" si="3"/>
        <v>-2.5000000000000001E-2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f>$C$19</f>
        <v>0.2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</row>
    <row r="77" spans="3:96" x14ac:dyDescent="0.25">
      <c r="F77">
        <v>1E-3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0.01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BA77">
        <f t="shared" si="3"/>
        <v>-2.5000000000000001E-2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f>$C$19</f>
        <v>0.2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</row>
    <row r="78" spans="3:96" x14ac:dyDescent="0.25">
      <c r="F78">
        <v>1E-3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0.01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BA78">
        <f t="shared" si="3"/>
        <v>-2.5000000000000001E-2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f>$C$19</f>
        <v>0.2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</row>
    <row r="79" spans="3:96" x14ac:dyDescent="0.25">
      <c r="F79">
        <v>1E-3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0.01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BA79">
        <f t="shared" si="3"/>
        <v>-2.5000000000000001E-2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f>$C$19</f>
        <v>0.2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</row>
    <row r="80" spans="3:96" x14ac:dyDescent="0.25">
      <c r="F80">
        <v>1E-3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0.01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BA80">
        <f t="shared" si="3"/>
        <v>-2.5000000000000001E-2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f>$C$19</f>
        <v>0.2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</row>
    <row r="81" spans="6:96" x14ac:dyDescent="0.25">
      <c r="F81">
        <v>1E-3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0.01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BA81">
        <f t="shared" si="3"/>
        <v>-2.5000000000000001E-2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f>$C$19</f>
        <v>0.2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</row>
    <row r="82" spans="6:96" x14ac:dyDescent="0.25">
      <c r="F82">
        <v>1E-3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0.01</v>
      </c>
      <c r="AS82">
        <v>0</v>
      </c>
      <c r="AT82">
        <v>0</v>
      </c>
      <c r="AU82">
        <v>0</v>
      </c>
      <c r="AV82">
        <v>0</v>
      </c>
      <c r="AW82">
        <v>0</v>
      </c>
      <c r="BA82">
        <f t="shared" si="3"/>
        <v>-2.5000000000000001E-2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f>$C$19</f>
        <v>0.2</v>
      </c>
      <c r="CN82">
        <v>0</v>
      </c>
      <c r="CO82">
        <v>0</v>
      </c>
      <c r="CP82">
        <v>0</v>
      </c>
      <c r="CQ82">
        <v>0</v>
      </c>
      <c r="CR82">
        <v>0</v>
      </c>
    </row>
    <row r="83" spans="6:96" x14ac:dyDescent="0.25">
      <c r="F83">
        <v>1E-3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0.01</v>
      </c>
      <c r="AT83">
        <v>0</v>
      </c>
      <c r="AU83">
        <v>0</v>
      </c>
      <c r="AV83">
        <v>0</v>
      </c>
      <c r="AW83">
        <v>0</v>
      </c>
      <c r="BA83">
        <f t="shared" si="3"/>
        <v>-2.5000000000000001E-2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f>$C$19</f>
        <v>0.2</v>
      </c>
      <c r="CO83">
        <v>0</v>
      </c>
      <c r="CP83">
        <v>0</v>
      </c>
      <c r="CQ83">
        <v>0</v>
      </c>
      <c r="CR83">
        <v>0</v>
      </c>
    </row>
    <row r="84" spans="6:96" x14ac:dyDescent="0.25">
      <c r="F84">
        <v>1E-3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0.01</v>
      </c>
      <c r="AU84">
        <v>0</v>
      </c>
      <c r="AV84">
        <v>0</v>
      </c>
      <c r="AW84">
        <v>0</v>
      </c>
      <c r="BA84">
        <f t="shared" si="3"/>
        <v>-2.5000000000000001E-2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f>$C$19</f>
        <v>0.2</v>
      </c>
      <c r="CP84">
        <v>0</v>
      </c>
      <c r="CQ84">
        <v>0</v>
      </c>
      <c r="CR84">
        <v>0</v>
      </c>
    </row>
    <row r="85" spans="6:96" x14ac:dyDescent="0.25">
      <c r="F85">
        <v>1E-3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0.01</v>
      </c>
      <c r="AV85">
        <v>0</v>
      </c>
      <c r="AW85">
        <v>0</v>
      </c>
      <c r="BA85">
        <f t="shared" si="3"/>
        <v>-2.5000000000000001E-2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f>$C$19</f>
        <v>0.2</v>
      </c>
      <c r="CQ85">
        <v>0</v>
      </c>
      <c r="CR85">
        <v>0</v>
      </c>
    </row>
    <row r="86" spans="6:96" x14ac:dyDescent="0.25">
      <c r="F86">
        <v>1E-3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0.01</v>
      </c>
      <c r="AW86">
        <v>0</v>
      </c>
      <c r="BA86">
        <f t="shared" si="3"/>
        <v>-2.5000000000000001E-2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f>$C$19</f>
        <v>0.2</v>
      </c>
      <c r="CR86">
        <v>0</v>
      </c>
    </row>
    <row r="87" spans="6:96" x14ac:dyDescent="0.25">
      <c r="F87">
        <v>1E-3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0.01</v>
      </c>
      <c r="BA87">
        <f t="shared" si="3"/>
        <v>-2.5000000000000001E-2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f>$C$19</f>
        <v>0.2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92924-C5EF-4CFA-B042-450D07BB14C9}">
  <dimension ref="A1:D10"/>
  <sheetViews>
    <sheetView workbookViewId="0">
      <selection activeCell="B34" sqref="B34"/>
    </sheetView>
  </sheetViews>
  <sheetFormatPr defaultRowHeight="15" x14ac:dyDescent="0.25"/>
  <cols>
    <col min="1" max="1" width="26.140625" customWidth="1"/>
    <col min="2" max="2" width="10.7109375" customWidth="1"/>
    <col min="3" max="3" width="10.28515625" customWidth="1"/>
    <col min="4" max="4" width="12" customWidth="1"/>
  </cols>
  <sheetData>
    <row r="1" spans="1:4" ht="15.75" x14ac:dyDescent="0.25">
      <c r="A1" s="1" t="s">
        <v>0</v>
      </c>
    </row>
    <row r="2" spans="1:4" x14ac:dyDescent="0.25">
      <c r="A2" t="s">
        <v>5</v>
      </c>
    </row>
    <row r="3" spans="1:4" ht="15.75" x14ac:dyDescent="0.25">
      <c r="A3" s="1" t="s">
        <v>1</v>
      </c>
    </row>
    <row r="4" spans="1:4" x14ac:dyDescent="0.25">
      <c r="A4" t="s">
        <v>6</v>
      </c>
      <c r="B4" t="s">
        <v>7</v>
      </c>
      <c r="C4" t="s">
        <v>8</v>
      </c>
      <c r="D4" t="s">
        <v>9</v>
      </c>
    </row>
    <row r="5" spans="1:4" ht="15.75" x14ac:dyDescent="0.25">
      <c r="A5" s="1" t="s">
        <v>2</v>
      </c>
    </row>
    <row r="6" spans="1:4" x14ac:dyDescent="0.25">
      <c r="A6" t="s">
        <v>10</v>
      </c>
    </row>
    <row r="7" spans="1:4" ht="15.75" x14ac:dyDescent="0.25">
      <c r="A7" s="1" t="s">
        <v>3</v>
      </c>
    </row>
    <row r="8" spans="1:4" x14ac:dyDescent="0.25">
      <c r="A8" t="s">
        <v>11</v>
      </c>
    </row>
    <row r="9" spans="1:4" ht="15.75" x14ac:dyDescent="0.25">
      <c r="A9" s="1" t="s">
        <v>4</v>
      </c>
    </row>
    <row r="10" spans="1:4" x14ac:dyDescent="0.25">
      <c r="A10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02743-6250-42C3-8E5A-12138F02A284}">
  <dimension ref="A1:W30"/>
  <sheetViews>
    <sheetView topLeftCell="B1" workbookViewId="0">
      <selection activeCell="C14" sqref="C14:W30"/>
    </sheetView>
  </sheetViews>
  <sheetFormatPr defaultRowHeight="15" x14ac:dyDescent="0.25"/>
  <cols>
    <col min="1" max="1" width="24.28515625" customWidth="1"/>
    <col min="2" max="2" width="16.5703125" customWidth="1"/>
    <col min="3" max="3" width="21.140625" customWidth="1"/>
    <col min="7" max="7" width="11.7109375" bestFit="1" customWidth="1"/>
  </cols>
  <sheetData>
    <row r="1" spans="1:13" ht="15.75" x14ac:dyDescent="0.25">
      <c r="A1" s="1" t="s">
        <v>0</v>
      </c>
    </row>
    <row r="2" spans="1:13" x14ac:dyDescent="0.25">
      <c r="A2" t="s">
        <v>13</v>
      </c>
    </row>
    <row r="3" spans="1:13" ht="15.75" x14ac:dyDescent="0.25">
      <c r="A3" s="1" t="s">
        <v>1</v>
      </c>
    </row>
    <row r="4" spans="1:13" x14ac:dyDescent="0.25">
      <c r="A4" t="s">
        <v>6</v>
      </c>
      <c r="B4" t="s">
        <v>7</v>
      </c>
      <c r="C4" t="s">
        <v>8</v>
      </c>
      <c r="D4" t="s">
        <v>14</v>
      </c>
    </row>
    <row r="5" spans="1:13" ht="15.75" x14ac:dyDescent="0.25">
      <c r="A5" s="1" t="s">
        <v>2</v>
      </c>
    </row>
    <row r="6" spans="1:13" x14ac:dyDescent="0.25">
      <c r="A6" t="s">
        <v>10</v>
      </c>
    </row>
    <row r="7" spans="1:13" ht="15.75" x14ac:dyDescent="0.25">
      <c r="A7" s="1" t="s">
        <v>3</v>
      </c>
    </row>
    <row r="8" spans="1:13" x14ac:dyDescent="0.25">
      <c r="A8" t="s">
        <v>15</v>
      </c>
    </row>
    <row r="9" spans="1:13" ht="15.75" x14ac:dyDescent="0.25">
      <c r="A9" s="1" t="s">
        <v>4</v>
      </c>
    </row>
    <row r="10" spans="1:13" x14ac:dyDescent="0.25">
      <c r="A10" t="s">
        <v>11</v>
      </c>
    </row>
    <row r="13" spans="1:13" x14ac:dyDescent="0.25">
      <c r="A13" t="s">
        <v>29</v>
      </c>
      <c r="G13" t="s">
        <v>47</v>
      </c>
      <c r="H13" t="s">
        <v>48</v>
      </c>
      <c r="I13" t="s">
        <v>32</v>
      </c>
      <c r="J13" t="s">
        <v>33</v>
      </c>
      <c r="K13" t="s">
        <v>49</v>
      </c>
      <c r="L13" t="s">
        <v>50</v>
      </c>
      <c r="M13" t="s">
        <v>51</v>
      </c>
    </row>
    <row r="14" spans="1:13" ht="15.75" thickBot="1" x14ac:dyDescent="0.3">
      <c r="B14" s="2" t="s">
        <v>30</v>
      </c>
      <c r="C14" s="3">
        <v>2.8601000000000001E-2</v>
      </c>
      <c r="G14">
        <v>6.9140000000000005E-5</v>
      </c>
    </row>
    <row r="15" spans="1:13" ht="15.75" thickBot="1" x14ac:dyDescent="0.3">
      <c r="B15" s="2" t="s">
        <v>31</v>
      </c>
      <c r="C15" s="3">
        <v>-3.3957000000000001E-2</v>
      </c>
      <c r="G15">
        <v>-8.0760000000000006E-5</v>
      </c>
      <c r="H15">
        <v>1.0361000000000001E-4</v>
      </c>
    </row>
    <row r="16" spans="1:13" ht="15.75" thickBot="1" x14ac:dyDescent="0.3">
      <c r="B16" s="2" t="s">
        <v>32</v>
      </c>
      <c r="C16" s="3">
        <v>-4.5750000000000001E-3</v>
      </c>
      <c r="G16">
        <v>1.491E-5</v>
      </c>
      <c r="H16">
        <v>3.1170000000000001E-5</v>
      </c>
      <c r="I16">
        <v>3.4879999999999998E-5</v>
      </c>
    </row>
    <row r="17" spans="2:23" ht="15.75" thickBot="1" x14ac:dyDescent="0.3">
      <c r="B17" s="2" t="s">
        <v>33</v>
      </c>
      <c r="C17" s="3">
        <v>0.100198</v>
      </c>
      <c r="G17" s="4">
        <v>1.1689999999999999E-6</v>
      </c>
      <c r="H17" s="4">
        <v>-1.023E-6</v>
      </c>
      <c r="I17" s="4">
        <v>-2.283E-6</v>
      </c>
      <c r="J17">
        <v>1.22327E-3</v>
      </c>
    </row>
    <row r="18" spans="2:23" ht="15.75" thickBot="1" x14ac:dyDescent="0.3">
      <c r="B18" s="2" t="s">
        <v>34</v>
      </c>
      <c r="C18" s="3">
        <v>3.1988000000000003E-2</v>
      </c>
      <c r="G18" s="4">
        <v>-2.4329999999999998E-6</v>
      </c>
      <c r="H18" s="4">
        <v>7.7390000000000001E-7</v>
      </c>
      <c r="I18" s="4">
        <v>1.0389999999999999E-6</v>
      </c>
      <c r="J18">
        <v>8.4770000000000003E-5</v>
      </c>
      <c r="K18">
        <v>2.0741499999999999E-3</v>
      </c>
    </row>
    <row r="19" spans="2:23" ht="15.75" thickBot="1" x14ac:dyDescent="0.3">
      <c r="B19" s="2" t="s">
        <v>35</v>
      </c>
      <c r="C19" s="3">
        <v>0.61387800000000003</v>
      </c>
      <c r="G19" s="4">
        <v>-1.542E-6</v>
      </c>
      <c r="H19" s="4">
        <v>2.3520000000000001E-6</v>
      </c>
      <c r="I19">
        <v>-1.2310000000000001E-5</v>
      </c>
      <c r="J19" s="4">
        <v>-1.9939999999999999E-6</v>
      </c>
      <c r="K19">
        <v>-3.6014E-4</v>
      </c>
      <c r="L19">
        <v>1.61147E-3</v>
      </c>
    </row>
    <row r="20" spans="2:23" ht="15.75" thickBot="1" x14ac:dyDescent="0.3">
      <c r="B20" s="2" t="s">
        <v>36</v>
      </c>
      <c r="C20" s="3">
        <v>0.12277100000000001</v>
      </c>
      <c r="G20" s="4">
        <v>-6.9460000000000001E-6</v>
      </c>
      <c r="H20">
        <v>1.0360000000000001E-5</v>
      </c>
      <c r="I20" s="4">
        <v>8.9649999999999997E-6</v>
      </c>
      <c r="J20">
        <v>4.8189999999999998E-5</v>
      </c>
      <c r="K20">
        <v>-1.2726999999999999E-4</v>
      </c>
      <c r="L20">
        <v>5.9677999999999999E-4</v>
      </c>
      <c r="M20">
        <v>1.66808E-3</v>
      </c>
    </row>
    <row r="21" spans="2:23" ht="15.75" thickBot="1" x14ac:dyDescent="0.3">
      <c r="B21" s="2" t="s">
        <v>37</v>
      </c>
      <c r="C21" s="3">
        <v>9.5804E-2</v>
      </c>
      <c r="G21" s="4">
        <v>-3.1149999999999998E-6</v>
      </c>
      <c r="H21" s="4">
        <v>-4.104E-6</v>
      </c>
      <c r="I21" s="4">
        <v>7.4489999999999995E-7</v>
      </c>
      <c r="J21">
        <v>-1.3519999999999999E-5</v>
      </c>
      <c r="K21">
        <v>-1.2852E-4</v>
      </c>
      <c r="L21">
        <v>-8.1790000000000001E-5</v>
      </c>
      <c r="M21">
        <v>-1.9458E-4</v>
      </c>
      <c r="N21">
        <v>5.0000000000000001E-3</v>
      </c>
    </row>
    <row r="22" spans="2:23" ht="15.75" thickBot="1" x14ac:dyDescent="0.3">
      <c r="B22" s="2" t="s">
        <v>38</v>
      </c>
      <c r="C22" s="3">
        <v>0.24437</v>
      </c>
      <c r="G22" s="4">
        <v>2.249E-6</v>
      </c>
      <c r="H22" s="4">
        <v>-7.1949999999999997E-6</v>
      </c>
      <c r="I22">
        <v>-2.4870000000000001E-5</v>
      </c>
      <c r="J22">
        <v>-3.3370000000000001E-5</v>
      </c>
      <c r="K22">
        <v>-4.9289999999999997E-5</v>
      </c>
      <c r="L22">
        <v>-7.4250000000000002E-5</v>
      </c>
      <c r="M22">
        <v>-9.8989999999999999E-5</v>
      </c>
      <c r="N22">
        <v>5.0000000000000001E-3</v>
      </c>
      <c r="O22">
        <v>5.0000000000000001E-3</v>
      </c>
    </row>
    <row r="23" spans="2:23" ht="15.75" thickBot="1" x14ac:dyDescent="0.3">
      <c r="B23" s="2" t="s">
        <v>39</v>
      </c>
      <c r="C23" s="3">
        <v>-1.9259999999999999E-2</v>
      </c>
      <c r="G23" s="4">
        <v>-9.4809999999999995E-6</v>
      </c>
      <c r="H23" s="4">
        <v>9.9199999999999999E-6</v>
      </c>
      <c r="I23" s="4">
        <v>3.4759999999999998E-6</v>
      </c>
      <c r="J23">
        <v>4.1510000000000001E-5</v>
      </c>
      <c r="K23">
        <v>-3.2639999999999999E-5</v>
      </c>
      <c r="L23">
        <v>-6.6149999999999995E-5</v>
      </c>
      <c r="M23">
        <v>-2.035E-5</v>
      </c>
      <c r="N23">
        <v>5.0000000000000001E-3</v>
      </c>
      <c r="O23">
        <v>5.0000000000000001E-3</v>
      </c>
      <c r="P23">
        <v>5.0000000000000001E-3</v>
      </c>
    </row>
    <row r="24" spans="2:23" ht="15.75" thickBot="1" x14ac:dyDescent="0.3">
      <c r="B24" s="2" t="s">
        <v>40</v>
      </c>
      <c r="C24" s="3">
        <v>-9.6866999999999995E-2</v>
      </c>
      <c r="G24" s="4">
        <v>3.4410000000000002E-6</v>
      </c>
      <c r="H24" s="4">
        <v>-2.9790000000000002E-6</v>
      </c>
      <c r="I24" s="4">
        <v>7.2099999999999996E-6</v>
      </c>
      <c r="J24" s="4">
        <v>-7.807E-7</v>
      </c>
      <c r="K24">
        <v>-5.0080000000000002E-5</v>
      </c>
      <c r="L24">
        <v>-3.129E-5</v>
      </c>
      <c r="M24">
        <v>-5.8579999999999998E-5</v>
      </c>
      <c r="N24">
        <v>5.0000000000000001E-3</v>
      </c>
      <c r="O24">
        <v>5.0000000000000001E-3</v>
      </c>
      <c r="P24">
        <v>5.0000000000000001E-3</v>
      </c>
      <c r="Q24">
        <v>5.0000000000000001E-3</v>
      </c>
    </row>
    <row r="25" spans="2:23" ht="15.75" thickBot="1" x14ac:dyDescent="0.3">
      <c r="B25" s="2" t="s">
        <v>41</v>
      </c>
      <c r="C25" s="3">
        <v>0.16392200000000001</v>
      </c>
      <c r="G25" s="4">
        <v>6.4430000000000002E-7</v>
      </c>
      <c r="H25" s="4">
        <v>-1.189E-6</v>
      </c>
      <c r="I25">
        <v>1.1049999999999999E-5</v>
      </c>
      <c r="J25" s="4">
        <v>-3.1240000000000001E-6</v>
      </c>
      <c r="K25">
        <v>-9.4679999999999995E-5</v>
      </c>
      <c r="L25">
        <v>-5.1910000000000003E-5</v>
      </c>
      <c r="M25">
        <v>-1.4529000000000001E-4</v>
      </c>
      <c r="N25">
        <v>5.0000000000000001E-3</v>
      </c>
      <c r="O25">
        <v>5.0000000000000001E-3</v>
      </c>
      <c r="P25">
        <v>5.0000000000000001E-3</v>
      </c>
      <c r="Q25">
        <v>5.0000000000000001E-3</v>
      </c>
      <c r="R25">
        <v>5.0000000000000001E-3</v>
      </c>
    </row>
    <row r="26" spans="2:23" ht="15.75" thickBot="1" x14ac:dyDescent="0.3">
      <c r="B26" s="2" t="s">
        <v>42</v>
      </c>
      <c r="C26" s="3">
        <v>8.5518999999999998E-2</v>
      </c>
      <c r="G26" s="4">
        <v>-7.0810000000000005E-7</v>
      </c>
      <c r="H26">
        <v>1.1950000000000001E-5</v>
      </c>
      <c r="I26" s="4">
        <v>2.954E-6</v>
      </c>
      <c r="J26">
        <v>1.469E-5</v>
      </c>
      <c r="K26">
        <v>-1.8539999999999999E-5</v>
      </c>
      <c r="L26">
        <v>-1.362E-5</v>
      </c>
      <c r="M26">
        <v>-4.8579999999999999E-5</v>
      </c>
      <c r="N26">
        <v>5.0000000000000001E-3</v>
      </c>
      <c r="O26">
        <v>5.0000000000000001E-3</v>
      </c>
      <c r="P26">
        <v>5.0000000000000001E-3</v>
      </c>
      <c r="Q26">
        <v>5.0000000000000001E-3</v>
      </c>
      <c r="R26">
        <v>5.0000000000000001E-3</v>
      </c>
      <c r="S26">
        <v>5.0000000000000001E-3</v>
      </c>
    </row>
    <row r="27" spans="2:23" ht="15.75" thickBot="1" x14ac:dyDescent="0.3">
      <c r="B27" s="2" t="s">
        <v>43</v>
      </c>
      <c r="C27" s="3">
        <v>-0.149148</v>
      </c>
      <c r="G27" s="4">
        <v>-6.5130000000000002E-7</v>
      </c>
      <c r="H27" s="4">
        <v>-1.2699999999999999E-6</v>
      </c>
      <c r="I27" s="4">
        <v>2.942E-6</v>
      </c>
      <c r="J27">
        <v>1.2330000000000001E-5</v>
      </c>
      <c r="K27">
        <v>2.1319999999999999E-5</v>
      </c>
      <c r="L27">
        <v>1.242E-5</v>
      </c>
      <c r="M27">
        <v>-3.0340000000000001E-5</v>
      </c>
      <c r="N27">
        <v>5.0000000000000001E-3</v>
      </c>
      <c r="O27">
        <v>5.0000000000000001E-3</v>
      </c>
      <c r="P27">
        <v>5.0000000000000001E-3</v>
      </c>
      <c r="Q27">
        <v>5.0000000000000001E-3</v>
      </c>
      <c r="R27">
        <v>5.0000000000000001E-3</v>
      </c>
      <c r="S27">
        <v>5.0000000000000001E-3</v>
      </c>
      <c r="T27">
        <v>5.0000000000000001E-3</v>
      </c>
    </row>
    <row r="28" spans="2:23" ht="15.75" thickBot="1" x14ac:dyDescent="0.3">
      <c r="B28" s="2" t="s">
        <v>44</v>
      </c>
      <c r="C28" s="3">
        <v>1.0173460000000001</v>
      </c>
      <c r="G28">
        <v>-1.131E-5</v>
      </c>
      <c r="H28">
        <v>6.8559999999999994E-5</v>
      </c>
      <c r="I28">
        <v>-4.8390000000000003E-5</v>
      </c>
      <c r="J28">
        <v>2.0435000000000001E-4</v>
      </c>
      <c r="K28">
        <v>1.365E-5</v>
      </c>
      <c r="L28">
        <v>-2.1345000000000001E-4</v>
      </c>
      <c r="M28">
        <v>2.2940999999999999E-4</v>
      </c>
      <c r="N28">
        <v>5.0000000000000001E-3</v>
      </c>
      <c r="O28">
        <v>5.0000000000000001E-3</v>
      </c>
      <c r="P28">
        <v>5.0000000000000001E-3</v>
      </c>
      <c r="Q28">
        <v>5.0000000000000001E-3</v>
      </c>
      <c r="R28">
        <v>5.0000000000000001E-3</v>
      </c>
      <c r="S28">
        <v>5.0000000000000001E-3</v>
      </c>
      <c r="T28">
        <v>5.0000000000000001E-3</v>
      </c>
      <c r="U28">
        <v>5.0000000000000001E-3</v>
      </c>
    </row>
    <row r="29" spans="2:23" ht="15.75" thickBot="1" x14ac:dyDescent="0.3">
      <c r="B29" s="2" t="s">
        <v>45</v>
      </c>
      <c r="C29" s="3">
        <v>-1.4355E-2</v>
      </c>
      <c r="G29" s="4">
        <v>-3.8260000000000003E-6</v>
      </c>
      <c r="H29" s="4">
        <v>5.8080000000000001E-7</v>
      </c>
      <c r="I29" s="4">
        <v>5.947E-6</v>
      </c>
      <c r="J29">
        <v>-7.5779999999999996E-5</v>
      </c>
      <c r="K29">
        <v>-6.8549999999999999E-5</v>
      </c>
      <c r="L29">
        <v>-1.4491999999999999E-4</v>
      </c>
      <c r="M29">
        <v>-1.7267000000000001E-4</v>
      </c>
      <c r="N29">
        <v>5.0000000000000001E-3</v>
      </c>
      <c r="O29">
        <v>5.0000000000000001E-3</v>
      </c>
      <c r="P29">
        <v>5.0000000000000001E-3</v>
      </c>
      <c r="Q29">
        <v>5.0000000000000001E-3</v>
      </c>
      <c r="R29">
        <v>5.0000000000000001E-3</v>
      </c>
      <c r="S29">
        <v>5.0000000000000001E-3</v>
      </c>
      <c r="T29">
        <v>5.0000000000000001E-3</v>
      </c>
      <c r="U29">
        <v>5.0000000000000001E-3</v>
      </c>
      <c r="V29">
        <v>5.0000000000000001E-3</v>
      </c>
    </row>
    <row r="30" spans="2:23" ht="15.75" thickBot="1" x14ac:dyDescent="0.3">
      <c r="B30" s="2" t="s">
        <v>46</v>
      </c>
      <c r="C30" s="3">
        <v>-2.9299919999999999</v>
      </c>
      <c r="G30">
        <v>-2.98321E-3</v>
      </c>
      <c r="H30">
        <v>3.3893999999999999E-3</v>
      </c>
      <c r="I30">
        <v>-5.1621000000000002E-4</v>
      </c>
      <c r="J30">
        <v>-4.6187000000000002E-4</v>
      </c>
      <c r="K30">
        <v>9.7040000000000006E-5</v>
      </c>
      <c r="L30">
        <v>1.9530000000000001E-5</v>
      </c>
      <c r="M30">
        <v>1.6049E-4</v>
      </c>
      <c r="N30">
        <v>5.0000000000000001E-3</v>
      </c>
      <c r="O30">
        <v>5.0000000000000001E-3</v>
      </c>
      <c r="P30">
        <v>5.0000000000000001E-3</v>
      </c>
      <c r="Q30">
        <v>5.0000000000000001E-3</v>
      </c>
      <c r="R30">
        <v>5.0000000000000001E-3</v>
      </c>
      <c r="S30">
        <v>5.0000000000000001E-3</v>
      </c>
      <c r="T30">
        <v>5.0000000000000001E-3</v>
      </c>
      <c r="U30">
        <v>5.0000000000000001E-3</v>
      </c>
      <c r="V30">
        <v>5.0000000000000001E-3</v>
      </c>
      <c r="W30">
        <v>5.0000000000000001E-3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DFFDA-0AC8-4CB8-A0D9-930CD6F92F6C}">
  <dimension ref="A1:E10"/>
  <sheetViews>
    <sheetView workbookViewId="0">
      <selection activeCell="A13" sqref="A13"/>
    </sheetView>
  </sheetViews>
  <sheetFormatPr defaultRowHeight="15" x14ac:dyDescent="0.25"/>
  <cols>
    <col min="1" max="1" width="21.5703125" customWidth="1"/>
    <col min="4" max="4" width="11.5703125" customWidth="1"/>
  </cols>
  <sheetData>
    <row r="1" spans="1:5" ht="15.75" x14ac:dyDescent="0.25">
      <c r="A1" s="1" t="s">
        <v>0</v>
      </c>
    </row>
    <row r="2" spans="1:5" x14ac:dyDescent="0.25">
      <c r="A2" t="s">
        <v>16</v>
      </c>
    </row>
    <row r="3" spans="1:5" ht="15.75" x14ac:dyDescent="0.25">
      <c r="A3" s="1" t="s">
        <v>1</v>
      </c>
    </row>
    <row r="4" spans="1:5" x14ac:dyDescent="0.25">
      <c r="A4" t="s">
        <v>6</v>
      </c>
      <c r="B4" t="s">
        <v>7</v>
      </c>
      <c r="C4" t="s">
        <v>17</v>
      </c>
      <c r="D4" t="s">
        <v>18</v>
      </c>
      <c r="E4" t="s">
        <v>19</v>
      </c>
    </row>
    <row r="5" spans="1:5" ht="15.75" x14ac:dyDescent="0.25">
      <c r="A5" s="1" t="s">
        <v>2</v>
      </c>
    </row>
    <row r="6" spans="1:5" x14ac:dyDescent="0.25">
      <c r="A6" t="s">
        <v>10</v>
      </c>
    </row>
    <row r="7" spans="1:5" ht="15.75" x14ac:dyDescent="0.25">
      <c r="A7" s="1" t="s">
        <v>3</v>
      </c>
    </row>
    <row r="8" spans="1:5" x14ac:dyDescent="0.25">
      <c r="A8" t="s">
        <v>20</v>
      </c>
    </row>
    <row r="9" spans="1:5" ht="15.75" x14ac:dyDescent="0.25">
      <c r="A9" s="1" t="s">
        <v>4</v>
      </c>
    </row>
    <row r="10" spans="1:5" x14ac:dyDescent="0.25">
      <c r="A10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82672-6153-442E-8D9B-2BF1CEB85592}">
  <dimension ref="A1:D10"/>
  <sheetViews>
    <sheetView workbookViewId="0">
      <selection activeCell="A10" sqref="A10"/>
    </sheetView>
  </sheetViews>
  <sheetFormatPr defaultRowHeight="15" x14ac:dyDescent="0.25"/>
  <cols>
    <col min="1" max="1" width="18.5703125" customWidth="1"/>
  </cols>
  <sheetData>
    <row r="1" spans="1:4" ht="15.75" x14ac:dyDescent="0.25">
      <c r="A1" s="1" t="s">
        <v>0</v>
      </c>
    </row>
    <row r="2" spans="1:4" x14ac:dyDescent="0.25">
      <c r="A2" t="s">
        <v>22</v>
      </c>
    </row>
    <row r="3" spans="1:4" ht="15.75" x14ac:dyDescent="0.25">
      <c r="A3" s="1" t="s">
        <v>1</v>
      </c>
    </row>
    <row r="4" spans="1:4" x14ac:dyDescent="0.25">
      <c r="A4" t="s">
        <v>6</v>
      </c>
      <c r="B4" t="s">
        <v>7</v>
      </c>
      <c r="C4" t="s">
        <v>8</v>
      </c>
      <c r="D4" t="s">
        <v>14</v>
      </c>
    </row>
    <row r="5" spans="1:4" ht="15.75" x14ac:dyDescent="0.25">
      <c r="A5" s="1" t="s">
        <v>2</v>
      </c>
    </row>
    <row r="6" spans="1:4" x14ac:dyDescent="0.25">
      <c r="A6" t="s">
        <v>10</v>
      </c>
      <c r="B6" t="s">
        <v>23</v>
      </c>
    </row>
    <row r="7" spans="1:4" ht="15.75" x14ac:dyDescent="0.25">
      <c r="A7" s="1" t="s">
        <v>3</v>
      </c>
    </row>
    <row r="8" spans="1:4" x14ac:dyDescent="0.25">
      <c r="A8" t="s">
        <v>11</v>
      </c>
    </row>
    <row r="9" spans="1:4" ht="15.75" x14ac:dyDescent="0.25">
      <c r="A9" s="1" t="s">
        <v>4</v>
      </c>
    </row>
    <row r="10" spans="1:4" x14ac:dyDescent="0.25">
      <c r="A10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8E641-D74E-46C5-95B5-13124C56CE5B}">
  <dimension ref="A1:D10"/>
  <sheetViews>
    <sheetView workbookViewId="0">
      <selection activeCell="A10" sqref="A10"/>
    </sheetView>
  </sheetViews>
  <sheetFormatPr defaultRowHeight="15" x14ac:dyDescent="0.25"/>
  <cols>
    <col min="1" max="1" width="23" customWidth="1"/>
    <col min="2" max="2" width="15.7109375" customWidth="1"/>
    <col min="3" max="3" width="16.7109375" customWidth="1"/>
    <col min="4" max="4" width="17.85546875" customWidth="1"/>
    <col min="9" max="9" width="13.28515625" customWidth="1"/>
    <col min="10" max="10" width="13.7109375" customWidth="1"/>
  </cols>
  <sheetData>
    <row r="1" spans="1:4" ht="15.75" x14ac:dyDescent="0.25">
      <c r="A1" s="1" t="s">
        <v>0</v>
      </c>
    </row>
    <row r="2" spans="1:4" x14ac:dyDescent="0.25">
      <c r="A2" t="s">
        <v>24</v>
      </c>
    </row>
    <row r="3" spans="1:4" ht="15.75" x14ac:dyDescent="0.25">
      <c r="A3" s="1" t="s">
        <v>1</v>
      </c>
    </row>
    <row r="4" spans="1:4" x14ac:dyDescent="0.25">
      <c r="A4" t="s">
        <v>6</v>
      </c>
      <c r="B4" t="s">
        <v>7</v>
      </c>
      <c r="C4" t="s">
        <v>17</v>
      </c>
      <c r="D4" t="s">
        <v>25</v>
      </c>
    </row>
    <row r="5" spans="1:4" ht="15.75" x14ac:dyDescent="0.25">
      <c r="A5" s="1" t="s">
        <v>2</v>
      </c>
    </row>
    <row r="6" spans="1:4" x14ac:dyDescent="0.25">
      <c r="A6" t="s">
        <v>26</v>
      </c>
      <c r="B6" t="s">
        <v>27</v>
      </c>
      <c r="C6" t="s">
        <v>28</v>
      </c>
    </row>
    <row r="7" spans="1:4" ht="15.75" x14ac:dyDescent="0.25">
      <c r="A7" s="1" t="s">
        <v>3</v>
      </c>
    </row>
    <row r="8" spans="1:4" x14ac:dyDescent="0.25">
      <c r="A8" t="s">
        <v>11</v>
      </c>
    </row>
    <row r="9" spans="1:4" ht="15.75" x14ac:dyDescent="0.25">
      <c r="A9" s="1" t="s">
        <v>4</v>
      </c>
    </row>
    <row r="10" spans="1:4" x14ac:dyDescent="0.25">
      <c r="A1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Test</vt:lpstr>
      <vt:lpstr>1</vt:lpstr>
      <vt:lpstr>2</vt:lpstr>
      <vt:lpstr>3</vt:lpstr>
      <vt:lpstr>4</vt:lpstr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 Peled</dc:creator>
  <cp:lastModifiedBy>Gil Peled</cp:lastModifiedBy>
  <dcterms:created xsi:type="dcterms:W3CDTF">2024-04-23T18:02:53Z</dcterms:created>
  <dcterms:modified xsi:type="dcterms:W3CDTF">2024-04-28T17:20:24Z</dcterms:modified>
</cp:coreProperties>
</file>